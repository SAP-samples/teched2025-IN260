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IN260\teched2025-IN260\payloads\IN 260 - Order to Cash - SAP IDoc with UN-EDIFACT\"/>
    </mc:Choice>
  </mc:AlternateContent>
  <xr:revisionPtr revIDLastSave="0" documentId="13_ncr:1_{8F07ADF7-E17E-452D-8625-3C6C31DF9E40}" xr6:coauthVersionLast="47" xr6:coauthVersionMax="47" xr10:uidLastSave="{00000000-0000-0000-0000-000000000000}"/>
  <bookViews>
    <workbookView xWindow="51855" yWindow="885" windowWidth="25455" windowHeight="14700" xr2:uid="{3A9A6C5A-4DD8-48D6-BF8B-8AF0D1F91E21}"/>
  </bookViews>
  <sheets>
    <sheet name="Ordered Item" sheetId="1" r:id="rId1"/>
    <sheet name="Measurement UoM" sheetId="3" r:id="rId2"/>
    <sheet name="Quantity UoM" sheetId="2" r:id="rId3"/>
    <sheet name="IDOC - MATKL - Material Class" sheetId="6" r:id="rId4"/>
    <sheet name="IDOC - PTSTYV - Item Category " sheetId="5" r:id="rId5"/>
    <sheet name="Package Typ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H12" i="1"/>
  <c r="B12" i="1" l="1"/>
  <c r="M12" i="1"/>
  <c r="R11" i="1"/>
  <c r="T11" i="1" s="1"/>
  <c r="U11" i="1" s="1"/>
  <c r="R10" i="1"/>
  <c r="T10" i="1" s="1"/>
  <c r="U10" i="1" s="1"/>
  <c r="R9" i="1"/>
  <c r="T9" i="1" s="1"/>
  <c r="U9" i="1" s="1"/>
  <c r="R8" i="1"/>
  <c r="T8" i="1" s="1"/>
  <c r="U8" i="1" s="1"/>
  <c r="R7" i="1"/>
  <c r="T7" i="1" s="1"/>
  <c r="U7" i="1" s="1"/>
  <c r="R6" i="1"/>
  <c r="T6" i="1" s="1"/>
  <c r="U6" i="1" s="1"/>
  <c r="R5" i="1"/>
  <c r="T5" i="1" s="1"/>
  <c r="U5" i="1" s="1"/>
  <c r="R4" i="1"/>
  <c r="T4" i="1" s="1"/>
  <c r="U4" i="1" s="1"/>
  <c r="R3" i="1"/>
  <c r="T3" i="1" s="1"/>
  <c r="U3" i="1" s="1"/>
  <c r="R2" i="1"/>
  <c r="F12" i="1"/>
  <c r="V5" i="1" l="1"/>
  <c r="V4" i="1"/>
  <c r="V6" i="1"/>
  <c r="V7" i="1"/>
  <c r="V8" i="1"/>
  <c r="V3" i="1"/>
  <c r="V9" i="1"/>
  <c r="V2" i="1"/>
  <c r="T2" i="1"/>
  <c r="V10" i="1"/>
  <c r="V11" i="1"/>
  <c r="R12" i="1"/>
  <c r="V12" i="1" l="1"/>
  <c r="T12" i="1"/>
  <c r="U2" i="1"/>
  <c r="U12" i="1" s="1"/>
</calcChain>
</file>

<file path=xl/sharedStrings.xml><?xml version="1.0" encoding="utf-8"?>
<sst xmlns="http://schemas.openxmlformats.org/spreadsheetml/2006/main" count="265" uniqueCount="143">
  <si>
    <t>#</t>
  </si>
  <si>
    <t>Product Name</t>
  </si>
  <si>
    <t>Suppliers Article No</t>
  </si>
  <si>
    <t>Item No</t>
  </si>
  <si>
    <t>EAN</t>
  </si>
  <si>
    <t>Net Weight</t>
  </si>
  <si>
    <t>Net Package Price</t>
  </si>
  <si>
    <t>Amount in Package</t>
  </si>
  <si>
    <t>Quantity of Packages</t>
  </si>
  <si>
    <t>Total</t>
  </si>
  <si>
    <t>BestRun VitalCrisp Cereal Bar</t>
  </si>
  <si>
    <t>BR-VCB-001</t>
  </si>
  <si>
    <t>BestRun KornKraft Whole-Grain Bread</t>
  </si>
  <si>
    <t>BR-KKWB-002</t>
  </si>
  <si>
    <t>BestRun MorgenGold Organic Porridge</t>
  </si>
  <si>
    <t>BR-MGOP-003</t>
  </si>
  <si>
    <t>BestRun FitFrucht Smoothie Mix</t>
  </si>
  <si>
    <t>BR-FFSM-004</t>
  </si>
  <si>
    <t>BestRun ProteinPower Lentil Salad Bowl</t>
  </si>
  <si>
    <t>BR-PPLS-005</t>
  </si>
  <si>
    <t>BestRun ChocoCharge Energy Bites</t>
  </si>
  <si>
    <t>BR-CCEB-006</t>
  </si>
  <si>
    <t>BestRun GreenFuel Quinoa Bowl</t>
  </si>
  <si>
    <t>BR-GFQB-007</t>
  </si>
  <si>
    <t>BestRun BerryBoost Granola Mix</t>
  </si>
  <si>
    <t>BR-BBGM-008</t>
  </si>
  <si>
    <t>BestRun AquaPure Electrolyte Water</t>
  </si>
  <si>
    <t>BR-APEW-009</t>
  </si>
  <si>
    <t>BestRun NutriSnack Veggie Chips</t>
  </si>
  <si>
    <t>BR-NSVC-010</t>
  </si>
  <si>
    <t>Total Unit</t>
  </si>
  <si>
    <t>Package Unit</t>
  </si>
  <si>
    <t>Rolls</t>
  </si>
  <si>
    <t>Bag</t>
  </si>
  <si>
    <t>Roll</t>
  </si>
  <si>
    <t>Bar</t>
  </si>
  <si>
    <t>Mix</t>
  </si>
  <si>
    <t>Bowl</t>
  </si>
  <si>
    <t>Bites</t>
  </si>
  <si>
    <t>Water</t>
  </si>
  <si>
    <t>Chips</t>
  </si>
  <si>
    <t>Bottle</t>
  </si>
  <si>
    <t>Item Unit</t>
  </si>
  <si>
    <t>Cup</t>
  </si>
  <si>
    <t>Can</t>
  </si>
  <si>
    <t>Bag (Plastic)</t>
  </si>
  <si>
    <t>Bag (Paper)</t>
  </si>
  <si>
    <t>Carton</t>
  </si>
  <si>
    <t>Package</t>
  </si>
  <si>
    <t>Box</t>
  </si>
  <si>
    <t>Piece</t>
  </si>
  <si>
    <t>4000001000012</t>
  </si>
  <si>
    <t>4000001000029</t>
  </si>
  <si>
    <t>4000001000036</t>
  </si>
  <si>
    <t>4000001000043</t>
  </si>
  <si>
    <t>4000001000050</t>
  </si>
  <si>
    <t>4000001000067</t>
  </si>
  <si>
    <t>4000001000074</t>
  </si>
  <si>
    <t>4000001000081</t>
  </si>
  <si>
    <t>4000001000098</t>
  </si>
  <si>
    <t>4000001000104</t>
  </si>
  <si>
    <t>Weight Unit</t>
  </si>
  <si>
    <t>gr</t>
  </si>
  <si>
    <t>ml</t>
  </si>
  <si>
    <t>Item Price</t>
  </si>
  <si>
    <t>Gross Price (19%)</t>
  </si>
  <si>
    <t>PCE</t>
  </si>
  <si>
    <t>POR</t>
  </si>
  <si>
    <t>Total Pieces</t>
  </si>
  <si>
    <t>Total Weight</t>
  </si>
  <si>
    <t>Total Unit2</t>
  </si>
  <si>
    <t>kg</t>
  </si>
  <si>
    <t>CA</t>
  </si>
  <si>
    <t>RO</t>
  </si>
  <si>
    <t>PA</t>
  </si>
  <si>
    <t>BG</t>
  </si>
  <si>
    <t>Box (Water)</t>
  </si>
  <si>
    <t>PK</t>
  </si>
  <si>
    <t>BX</t>
  </si>
  <si>
    <t>CT</t>
  </si>
  <si>
    <t>PTN</t>
  </si>
  <si>
    <t>NRL</t>
  </si>
  <si>
    <t>NAR</t>
  </si>
  <si>
    <t>ROL</t>
  </si>
  <si>
    <t>PAK</t>
  </si>
  <si>
    <t>ART</t>
  </si>
  <si>
    <t>ID</t>
  </si>
  <si>
    <t>Name</t>
  </si>
  <si>
    <t>Definition</t>
  </si>
  <si>
    <t>number of articles</t>
  </si>
  <si>
    <t>number of rolls</t>
  </si>
  <si>
    <t>packet</t>
  </si>
  <si>
    <t>Piece (EAN Code)</t>
  </si>
  <si>
    <t>Portion (EAN Code)</t>
  </si>
  <si>
    <t>The identification of the number of portions (doses in medical terms) into which a complete product may be broken into for serving purposes, e.g. a pie with 6 portions, a liquid medicine with 20 doses.</t>
  </si>
  <si>
    <t>GRM</t>
  </si>
  <si>
    <t>gram</t>
  </si>
  <si>
    <t>KGM</t>
  </si>
  <si>
    <t>kilogram</t>
  </si>
  <si>
    <t>LTR</t>
  </si>
  <si>
    <t>litre</t>
  </si>
  <si>
    <t>MLT</t>
  </si>
  <si>
    <t>millilitre</t>
  </si>
  <si>
    <t>IDOC</t>
  </si>
  <si>
    <t>KIL</t>
  </si>
  <si>
    <t>LIT</t>
  </si>
  <si>
    <t>MLI</t>
  </si>
  <si>
    <t>4C</t>
  </si>
  <si>
    <t>Box, natural wood</t>
  </si>
  <si>
    <t>4H</t>
  </si>
  <si>
    <t>Box, plastic</t>
  </si>
  <si>
    <t>5H</t>
  </si>
  <si>
    <t>Bag, woven plastic</t>
  </si>
  <si>
    <t>5M</t>
  </si>
  <si>
    <t>Bag, paper</t>
  </si>
  <si>
    <t>IC</t>
  </si>
  <si>
    <t>Package, display, plastic</t>
  </si>
  <si>
    <t>IG</t>
  </si>
  <si>
    <t>Package, paper wrapped</t>
  </si>
  <si>
    <t>XC</t>
  </si>
  <si>
    <t>Bag, woven plastic, water resistant</t>
  </si>
  <si>
    <t>EDIFACT</t>
  </si>
  <si>
    <t>IDOC Unit Code</t>
  </si>
  <si>
    <t>EDIFACT Unit Code</t>
  </si>
  <si>
    <t>EDIFACT Package Type</t>
  </si>
  <si>
    <t>IDOC Material Class</t>
  </si>
  <si>
    <t>IDOC Item Category</t>
  </si>
  <si>
    <t>BD</t>
  </si>
  <si>
    <t>BR</t>
  </si>
  <si>
    <t>PG</t>
  </si>
  <si>
    <t>MX</t>
  </si>
  <si>
    <t>Bread</t>
  </si>
  <si>
    <t>Porridge</t>
  </si>
  <si>
    <t>BL</t>
  </si>
  <si>
    <t>WT</t>
  </si>
  <si>
    <t>CH</t>
  </si>
  <si>
    <t>BI</t>
  </si>
  <si>
    <t>CAT</t>
  </si>
  <si>
    <t>PAP</t>
  </si>
  <si>
    <t>PLA</t>
  </si>
  <si>
    <t>WOD</t>
  </si>
  <si>
    <t>GLS</t>
  </si>
  <si>
    <t>IDOC Packaging Material2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</si>
</sst>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* #,##0.00\ [$€-407]_-;\-* #,##0.00\ [$€-407]_-;_-* &quot;-&quot;??\ [$€-407]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6">
    <dxf>
      <numFmt numFmtId="169" formatCode="_-* #,##0.00\ [$€-407]_-;\-* #,##0.00\ [$€-407]_-;_-* &quot;-&quot;??\ [$€-407]_-;_-@_-"/>
    </dxf>
    <dxf>
      <numFmt numFmtId="169" formatCode="_-* #,##0.00\ [$€-407]_-;\-* #,##0.00\ [$€-407]_-;_-* &quot;-&quot;??\ [$€-407]_-;_-@_-"/>
    </dxf>
    <dxf>
      <numFmt numFmtId="169" formatCode="_-* #,##0.00\ [$€-407]_-;\-* #,##0.00\ [$€-407]_-;_-* &quot;-&quot;??\ [$€-407]_-;_-@_-"/>
    </dxf>
    <dxf>
      <numFmt numFmtId="169" formatCode="_-* #,##0.00\ [$€-407]_-;\-* #,##0.00\ [$€-407]_-;_-* &quot;-&quot;??\ [$€-407]_-;_-@_-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A10962-67B8-47C1-A90F-0ECA8CF2306D}" name="Table1" displayName="Table1" ref="A1:W12" totalsRowCount="1">
  <autoFilter ref="A1:W11" xr:uid="{E8A10962-67B8-47C1-A90F-0ECA8CF2306D}"/>
  <tableColumns count="23">
    <tableColumn id="1" xr3:uid="{18F57C3C-EB8C-4640-A63D-FA72EB5C9796}" name="#" totalsRowLabel="Total"/>
    <tableColumn id="2" xr3:uid="{3533DA83-4D0B-4F5B-9536-DDC72F69C1A8}" name="Product Name" totalsRowFunction="count"/>
    <tableColumn id="3" xr3:uid="{556AF88D-33FB-41B7-B461-A7117C6AE5A2}" name="Suppliers Article No"/>
    <tableColumn id="4" xr3:uid="{2805F293-0066-4E3B-8040-DD336A3D9331}" name="Item No" dataDxfId="5"/>
    <tableColumn id="5" xr3:uid="{9D2BD412-9436-4058-BC92-5D7D8BBC2EB8}" name="EAN" dataDxfId="4"/>
    <tableColumn id="6" xr3:uid="{D19CFA09-9F51-4DDF-8DB7-31B2DFBA75B1}" name="Net Weight" totalsRowFunction="average"/>
    <tableColumn id="11" xr3:uid="{13A57BAB-C215-4621-BFF4-998378BD58FA}" name="Weight Unit"/>
    <tableColumn id="7" xr3:uid="{6F8DD177-03BE-4C0C-B32B-8D9ABF7E1A27}" name="Net Package Price" totalsRowFunction="sum" dataDxfId="3" totalsRowDxfId="2"/>
    <tableColumn id="8" xr3:uid="{2885B6A4-159F-4A5D-8250-2A15C80BD771}" name="Amount in Package" totalsRowFunction="sum"/>
    <tableColumn id="12" xr3:uid="{22CD2F04-1C6F-40D9-80EB-C08F20910D93}" name="Item Unit"/>
    <tableColumn id="18" xr3:uid="{C5CCD22F-53C5-486D-A91C-5850FE519405}" name="IDOC Unit Code"/>
    <tableColumn id="17" xr3:uid="{291D9BE2-38F0-4DC4-91E3-DAF9988601AE}" name="EDIFACT Unit Code"/>
    <tableColumn id="9" xr3:uid="{884C7E42-125B-4B26-B7C1-C6CDAB3C38C5}" name="Quantity of Packages" totalsRowFunction="sum"/>
    <tableColumn id="14" xr3:uid="{C5ED9BCA-901B-460F-9064-AC611061B54F}" name="Package Unit"/>
    <tableColumn id="25" xr3:uid="{E93F85E9-6B79-4674-8848-CED2EFB53B4D}" name="IDOC Item Category"/>
    <tableColumn id="21" xr3:uid="{75A7CBBA-FD1A-421D-8A0F-D9E57A8F8E3E}" name="IDOC Material Class"/>
    <tableColumn id="23" xr3:uid="{3229F009-29B6-4AF2-A786-F4805C61169E}" name="IDOC Packaging Material2"/>
    <tableColumn id="10" xr3:uid="{8177DF24-E330-4636-9A0A-494318883C82}" name="Total Pieces" totalsRowFunction="sum"/>
    <tableColumn id="13" xr3:uid="{F663AB4C-4A5C-4A14-85E6-BB8ACEA6413E}" name="Total Unit" totalsRowLabel="Piece"/>
    <tableColumn id="15" xr3:uid="{61EAA0BB-39B3-4BA5-84F8-8639F5A75941}" name="Item Price" totalsRowFunction="sum" totalsRowDxfId="1"/>
    <tableColumn id="16" xr3:uid="{55B87616-3A99-4D0A-9648-1810B63CBF30}" name="Gross Price (19%)" totalsRowFunction="sum" totalsRowDxfId="0"/>
    <tableColumn id="19" xr3:uid="{3E62B545-E585-4FB5-BE5D-46EAE8FBFB0C}" name="Total Weight" totalsRowFunction="sum"/>
    <tableColumn id="20" xr3:uid="{EF04DE5F-5046-4CDD-BF07-DE08EB215F03}" name="Total Unit2" totalsRowLabel="kg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77EF47-B848-4F15-99C2-BA4D1E82C0D6}" name="Table3" displayName="Table3" ref="A1:D5" totalsRowShown="0">
  <autoFilter ref="A1:D5" xr:uid="{5F77EF47-B848-4F15-99C2-BA4D1E82C0D6}"/>
  <tableColumns count="4">
    <tableColumn id="1" xr3:uid="{0ADB2228-7C3D-49C7-B865-0F5460B5C0A1}" name="IDOC"/>
    <tableColumn id="4" xr3:uid="{54E57CB4-C35F-4E1E-A40A-6BE1BE0E391E}" name="EDIFACT"/>
    <tableColumn id="2" xr3:uid="{CF3C44C2-D997-4F56-AFD7-60222B45B6B9}" name="Name"/>
    <tableColumn id="3" xr3:uid="{D25FFE11-F062-4DFF-A3EB-ADD7D1297975}" name="Definit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693C8C-EEA4-411D-AAF8-BA3F1220C4B7}" name="Table2" displayName="Table2" ref="A1:D6" totalsRowShown="0">
  <autoFilter ref="A1:D6" xr:uid="{57693C8C-EEA4-411D-AAF8-BA3F1220C4B7}"/>
  <tableColumns count="4">
    <tableColumn id="1" xr3:uid="{77DFA1B7-7A1B-4F2D-A797-A84E8CB4BD28}" name="IDOC"/>
    <tableColumn id="4" xr3:uid="{6E07DF94-4BA4-47A4-B433-9F0B78F91C65}" name="EDIFACT"/>
    <tableColumn id="2" xr3:uid="{C6F7FA62-8F71-4F84-9462-25BE8E2048F1}" name="Name"/>
    <tableColumn id="3" xr3:uid="{225459EB-419D-4AAF-A872-4EA9FCA1F89B}" name="Definitio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178163-BABD-4A7A-84B8-F47EE5709778}" name="Table6" displayName="Table6" ref="A1:C6" totalsRowShown="0">
  <autoFilter ref="A1:C6" xr:uid="{5A178163-BABD-4A7A-84B8-F47EE5709778}"/>
  <tableColumns count="3">
    <tableColumn id="1" xr3:uid="{9CB8B11D-034D-4751-A33C-43347C1C5C03}" name="ID"/>
    <tableColumn id="2" xr3:uid="{EDED038D-1B01-489C-A667-DAE2F68E67F9}" name="Name"/>
    <tableColumn id="3" xr3:uid="{DEC2194F-077C-4EDD-BD14-4A73D994B5E0}" name="Defini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41B4F3-AB9B-4822-BE41-23BB66D716FC}" name="Table5" displayName="Table5" ref="A1:C9" totalsRowShown="0">
  <autoFilter ref="A1:C9" xr:uid="{D741B4F3-AB9B-4822-BE41-23BB66D716FC}"/>
  <tableColumns count="3">
    <tableColumn id="1" xr3:uid="{6B881803-D790-4C9D-8550-ACF28DEE4FE9}" name="ID"/>
    <tableColumn id="2" xr3:uid="{F504F4E3-FF5D-497D-840E-26ABD8303973}" name="Name"/>
    <tableColumn id="3" xr3:uid="{59F256E8-2F1B-412A-AF56-A521E392F88E}" name="Definition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46650E-A11A-412C-B00D-26F3CB325CEB}" name="Table4" displayName="Table4" ref="A1:E10" totalsRowShown="0">
  <autoFilter ref="A1:E10" xr:uid="{3E46650E-A11A-412C-B00D-26F3CB325CEB}"/>
  <sortState xmlns:xlrd2="http://schemas.microsoft.com/office/spreadsheetml/2017/richdata2" ref="A2:E10">
    <sortCondition ref="A1:A10"/>
  </sortState>
  <tableColumns count="5">
    <tableColumn id="1" xr3:uid="{DBB85C23-6285-46EE-AFEC-22D98F785224}" name="IDOC Item Category"/>
    <tableColumn id="5" xr3:uid="{A41B4613-B782-422A-98E2-BEA8C50853B5}" name="IDOC Material Class"/>
    <tableColumn id="2" xr3:uid="{89FC390F-F10F-4427-A7F1-9B99057AEDF7}" name="EDIFACT Package Type"/>
    <tableColumn id="3" xr3:uid="{78B1C797-A1E2-4671-82DC-D24A3B65E4A2}" name="Name"/>
    <tableColumn id="4" xr3:uid="{2C8FCA49-9024-4B48-9BD4-B20B395BC2B6}" name="Defini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96F7-46E5-494A-B4C7-540D3ECB73FF}">
  <dimension ref="A1:W12"/>
  <sheetViews>
    <sheetView tabSelected="1" workbookViewId="0">
      <selection activeCell="L16" sqref="L16"/>
    </sheetView>
  </sheetViews>
  <sheetFormatPr defaultRowHeight="15" x14ac:dyDescent="0.25"/>
  <cols>
    <col min="2" max="2" width="36.42578125" bestFit="1" customWidth="1"/>
    <col min="3" max="3" width="20.42578125" hidden="1" customWidth="1"/>
    <col min="4" max="4" width="10" hidden="1" customWidth="1"/>
    <col min="5" max="5" width="14.140625" hidden="1" customWidth="1"/>
    <col min="6" max="7" width="12.5703125" hidden="1" customWidth="1"/>
    <col min="8" max="8" width="18.85546875" hidden="1" customWidth="1"/>
    <col min="9" max="9" width="20" hidden="1" customWidth="1"/>
    <col min="10" max="12" width="20" customWidth="1"/>
    <col min="13" max="13" width="10.42578125" customWidth="1"/>
    <col min="14" max="17" width="21.5703125" customWidth="1"/>
    <col min="20" max="20" width="12.42578125" bestFit="1" customWidth="1"/>
    <col min="21" max="21" width="19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61</v>
      </c>
      <c r="H1" t="s">
        <v>6</v>
      </c>
      <c r="I1" t="s">
        <v>7</v>
      </c>
      <c r="J1" t="s">
        <v>42</v>
      </c>
      <c r="K1" t="s">
        <v>122</v>
      </c>
      <c r="L1" t="s">
        <v>123</v>
      </c>
      <c r="M1" t="s">
        <v>8</v>
      </c>
      <c r="N1" t="s">
        <v>31</v>
      </c>
      <c r="O1" t="s">
        <v>126</v>
      </c>
      <c r="P1" t="s">
        <v>125</v>
      </c>
      <c r="Q1" t="s">
        <v>142</v>
      </c>
      <c r="R1" t="s">
        <v>68</v>
      </c>
      <c r="S1" t="s">
        <v>30</v>
      </c>
      <c r="T1" t="s">
        <v>64</v>
      </c>
      <c r="U1" t="s">
        <v>65</v>
      </c>
      <c r="V1" t="s">
        <v>69</v>
      </c>
      <c r="W1" t="s">
        <v>70</v>
      </c>
    </row>
    <row r="2" spans="1:23" x14ac:dyDescent="0.25">
      <c r="A2">
        <v>1</v>
      </c>
      <c r="B2" t="s">
        <v>10</v>
      </c>
      <c r="C2" t="s">
        <v>11</v>
      </c>
      <c r="D2" s="1">
        <v>100001</v>
      </c>
      <c r="E2" s="1" t="s">
        <v>51</v>
      </c>
      <c r="F2">
        <v>40</v>
      </c>
      <c r="G2" t="s">
        <v>62</v>
      </c>
      <c r="H2" s="2">
        <v>0.89</v>
      </c>
      <c r="I2">
        <v>12</v>
      </c>
      <c r="J2" t="s">
        <v>35</v>
      </c>
      <c r="K2" t="s">
        <v>66</v>
      </c>
      <c r="L2" t="s">
        <v>66</v>
      </c>
      <c r="M2">
        <v>12</v>
      </c>
      <c r="N2" t="s">
        <v>47</v>
      </c>
      <c r="O2" t="s">
        <v>128</v>
      </c>
      <c r="P2" t="s">
        <v>72</v>
      </c>
      <c r="Q2" t="s">
        <v>137</v>
      </c>
      <c r="R2">
        <f>Table1[[#This Row],[Amount in Package]]*Table1[[#This Row],[Quantity of Packages]]</f>
        <v>144</v>
      </c>
      <c r="S2" t="s">
        <v>50</v>
      </c>
      <c r="T2" s="2">
        <f>Table1[[#This Row],[Net Package Price]] * Table1[[#This Row],[Total Pieces]]</f>
        <v>128.16</v>
      </c>
      <c r="U2" s="2">
        <f>Table1[[#This Row],[Item Price]] * 1.19</f>
        <v>152.51039999999998</v>
      </c>
      <c r="V2">
        <f>Table1[[#This Row],[Net Weight]]*Table1[[#This Row],[Total Pieces]]/1000</f>
        <v>5.76</v>
      </c>
      <c r="W2" t="s">
        <v>71</v>
      </c>
    </row>
    <row r="3" spans="1:23" x14ac:dyDescent="0.25">
      <c r="A3">
        <v>2</v>
      </c>
      <c r="B3" t="s">
        <v>12</v>
      </c>
      <c r="C3" t="s">
        <v>13</v>
      </c>
      <c r="D3" s="1">
        <v>100002</v>
      </c>
      <c r="E3" s="1" t="s">
        <v>52</v>
      </c>
      <c r="F3">
        <v>500</v>
      </c>
      <c r="G3" t="s">
        <v>62</v>
      </c>
      <c r="H3" s="2">
        <v>2.4900000000000002</v>
      </c>
      <c r="I3">
        <v>1</v>
      </c>
      <c r="J3" t="s">
        <v>34</v>
      </c>
      <c r="K3" t="s">
        <v>83</v>
      </c>
      <c r="L3" t="s">
        <v>81</v>
      </c>
      <c r="M3">
        <v>100</v>
      </c>
      <c r="N3" t="s">
        <v>32</v>
      </c>
      <c r="O3" t="s">
        <v>127</v>
      </c>
      <c r="P3" t="s">
        <v>73</v>
      </c>
      <c r="Q3" t="s">
        <v>138</v>
      </c>
      <c r="R3">
        <f>Table1[[#This Row],[Amount in Package]]*Table1[[#This Row],[Quantity of Packages]]</f>
        <v>100</v>
      </c>
      <c r="S3" t="s">
        <v>50</v>
      </c>
      <c r="T3" s="2">
        <f>Table1[[#This Row],[Net Package Price]]*Table1[[#This Row],[Total Pieces]]</f>
        <v>249.00000000000003</v>
      </c>
      <c r="U3" s="2">
        <f>Table1[[#This Row],[Item Price]] * 1.19</f>
        <v>296.31</v>
      </c>
      <c r="V3">
        <f>Table1[[#This Row],[Net Weight]]*Table1[[#This Row],[Total Pieces]]/1000</f>
        <v>50</v>
      </c>
      <c r="W3" t="s">
        <v>71</v>
      </c>
    </row>
    <row r="4" spans="1:23" x14ac:dyDescent="0.25">
      <c r="A4">
        <v>3</v>
      </c>
      <c r="B4" t="s">
        <v>14</v>
      </c>
      <c r="C4" t="s">
        <v>15</v>
      </c>
      <c r="D4" s="1">
        <v>100003</v>
      </c>
      <c r="E4" s="1" t="s">
        <v>53</v>
      </c>
      <c r="F4">
        <v>400</v>
      </c>
      <c r="G4" t="s">
        <v>62</v>
      </c>
      <c r="H4" s="2">
        <v>3.29</v>
      </c>
      <c r="I4">
        <v>1</v>
      </c>
      <c r="J4" t="s">
        <v>46</v>
      </c>
      <c r="K4" t="s">
        <v>67</v>
      </c>
      <c r="L4" t="s">
        <v>80</v>
      </c>
      <c r="M4">
        <v>150</v>
      </c>
      <c r="N4" t="s">
        <v>33</v>
      </c>
      <c r="O4" t="s">
        <v>129</v>
      </c>
      <c r="P4" t="s">
        <v>75</v>
      </c>
      <c r="Q4" t="s">
        <v>138</v>
      </c>
      <c r="R4">
        <f>Table1[[#This Row],[Amount in Package]]*Table1[[#This Row],[Quantity of Packages]]</f>
        <v>150</v>
      </c>
      <c r="S4" t="s">
        <v>50</v>
      </c>
      <c r="T4" s="2">
        <f>Table1[[#This Row],[Net Package Price]]*Table1[[#This Row],[Total Pieces]]</f>
        <v>493.5</v>
      </c>
      <c r="U4" s="2">
        <f>Table1[[#This Row],[Item Price]] * 1.19</f>
        <v>587.26499999999999</v>
      </c>
      <c r="V4">
        <f>Table1[[#This Row],[Net Weight]]*Table1[[#This Row],[Total Pieces]]/1000</f>
        <v>60</v>
      </c>
      <c r="W4" t="s">
        <v>71</v>
      </c>
    </row>
    <row r="5" spans="1:23" x14ac:dyDescent="0.25">
      <c r="A5">
        <v>4</v>
      </c>
      <c r="B5" t="s">
        <v>16</v>
      </c>
      <c r="C5" t="s">
        <v>17</v>
      </c>
      <c r="D5" s="1">
        <v>100004</v>
      </c>
      <c r="E5" s="1" t="s">
        <v>54</v>
      </c>
      <c r="F5">
        <v>200</v>
      </c>
      <c r="G5" t="s">
        <v>63</v>
      </c>
      <c r="H5" s="2">
        <v>4.99</v>
      </c>
      <c r="I5">
        <v>6</v>
      </c>
      <c r="J5" t="s">
        <v>41</v>
      </c>
      <c r="K5" t="s">
        <v>84</v>
      </c>
      <c r="L5" t="s">
        <v>74</v>
      </c>
      <c r="M5">
        <v>20</v>
      </c>
      <c r="N5" t="s">
        <v>76</v>
      </c>
      <c r="O5" t="s">
        <v>130</v>
      </c>
      <c r="P5" t="s">
        <v>78</v>
      </c>
      <c r="Q5" t="s">
        <v>140</v>
      </c>
      <c r="R5">
        <f>Table1[[#This Row],[Amount in Package]]*Table1[[#This Row],[Quantity of Packages]]</f>
        <v>120</v>
      </c>
      <c r="S5" t="s">
        <v>50</v>
      </c>
      <c r="T5" s="2">
        <f>Table1[[#This Row],[Net Package Price]]*Table1[[#This Row],[Total Pieces]]</f>
        <v>598.80000000000007</v>
      </c>
      <c r="U5" s="2">
        <f>Table1[[#This Row],[Item Price]] * 1.19</f>
        <v>712.572</v>
      </c>
      <c r="V5">
        <f>Table1[[#This Row],[Net Weight]]*Table1[[#This Row],[Total Pieces]]/1000</f>
        <v>24</v>
      </c>
      <c r="W5" t="s">
        <v>71</v>
      </c>
    </row>
    <row r="6" spans="1:23" x14ac:dyDescent="0.25">
      <c r="A6">
        <v>5</v>
      </c>
      <c r="B6" t="s">
        <v>18</v>
      </c>
      <c r="C6" t="s">
        <v>19</v>
      </c>
      <c r="D6" s="1">
        <v>100005</v>
      </c>
      <c r="E6" s="1" t="s">
        <v>55</v>
      </c>
      <c r="F6">
        <v>300</v>
      </c>
      <c r="G6" t="s">
        <v>62</v>
      </c>
      <c r="H6" s="2">
        <v>3.79</v>
      </c>
      <c r="I6">
        <v>10</v>
      </c>
      <c r="J6" t="s">
        <v>43</v>
      </c>
      <c r="K6" t="s">
        <v>67</v>
      </c>
      <c r="L6" t="s">
        <v>80</v>
      </c>
      <c r="M6">
        <v>25</v>
      </c>
      <c r="N6" t="s">
        <v>48</v>
      </c>
      <c r="O6" t="s">
        <v>133</v>
      </c>
      <c r="P6" t="s">
        <v>77</v>
      </c>
      <c r="Q6" t="s">
        <v>139</v>
      </c>
      <c r="R6">
        <f>Table1[[#This Row],[Amount in Package]]*Table1[[#This Row],[Quantity of Packages]]</f>
        <v>250</v>
      </c>
      <c r="S6" t="s">
        <v>50</v>
      </c>
      <c r="T6" s="2">
        <f>Table1[[#This Row],[Net Package Price]]*Table1[[#This Row],[Total Pieces]]</f>
        <v>947.5</v>
      </c>
      <c r="U6" s="2">
        <f>Table1[[#This Row],[Item Price]] * 1.19</f>
        <v>1127.5249999999999</v>
      </c>
      <c r="V6">
        <f>Table1[[#This Row],[Net Weight]]*Table1[[#This Row],[Total Pieces]]/1000</f>
        <v>75</v>
      </c>
      <c r="W6" t="s">
        <v>71</v>
      </c>
    </row>
    <row r="7" spans="1:23" x14ac:dyDescent="0.25">
      <c r="A7">
        <v>6</v>
      </c>
      <c r="B7" t="s">
        <v>20</v>
      </c>
      <c r="C7" t="s">
        <v>21</v>
      </c>
      <c r="D7" s="1">
        <v>100006</v>
      </c>
      <c r="E7" s="1" t="s">
        <v>56</v>
      </c>
      <c r="F7">
        <v>200</v>
      </c>
      <c r="G7" t="s">
        <v>62</v>
      </c>
      <c r="H7" s="2">
        <v>2.99</v>
      </c>
      <c r="I7">
        <v>10</v>
      </c>
      <c r="J7" t="s">
        <v>35</v>
      </c>
      <c r="K7" t="s">
        <v>66</v>
      </c>
      <c r="L7" t="s">
        <v>66</v>
      </c>
      <c r="M7">
        <v>30</v>
      </c>
      <c r="N7" t="s">
        <v>48</v>
      </c>
      <c r="O7" t="s">
        <v>136</v>
      </c>
      <c r="P7" t="s">
        <v>77</v>
      </c>
      <c r="Q7" t="s">
        <v>138</v>
      </c>
      <c r="R7">
        <f>Table1[[#This Row],[Amount in Package]]*Table1[[#This Row],[Quantity of Packages]]</f>
        <v>300</v>
      </c>
      <c r="S7" t="s">
        <v>50</v>
      </c>
      <c r="T7" s="2">
        <f>Table1[[#This Row],[Net Package Price]]*Table1[[#This Row],[Total Pieces]]</f>
        <v>897.00000000000011</v>
      </c>
      <c r="U7" s="2">
        <f>Table1[[#This Row],[Item Price]] * 1.19</f>
        <v>1067.43</v>
      </c>
      <c r="V7">
        <f>Table1[[#This Row],[Net Weight]]*Table1[[#This Row],[Total Pieces]]/1000</f>
        <v>60</v>
      </c>
      <c r="W7" t="s">
        <v>71</v>
      </c>
    </row>
    <row r="8" spans="1:23" x14ac:dyDescent="0.25">
      <c r="A8">
        <v>7</v>
      </c>
      <c r="B8" t="s">
        <v>22</v>
      </c>
      <c r="C8" t="s">
        <v>23</v>
      </c>
      <c r="D8" s="1">
        <v>100007</v>
      </c>
      <c r="E8" s="1" t="s">
        <v>57</v>
      </c>
      <c r="F8">
        <v>350</v>
      </c>
      <c r="G8" t="s">
        <v>62</v>
      </c>
      <c r="H8" s="2">
        <v>4.49</v>
      </c>
      <c r="I8">
        <v>6</v>
      </c>
      <c r="J8" t="s">
        <v>44</v>
      </c>
      <c r="K8" t="s">
        <v>67</v>
      </c>
      <c r="L8" t="s">
        <v>80</v>
      </c>
      <c r="M8">
        <v>40</v>
      </c>
      <c r="N8" t="s">
        <v>47</v>
      </c>
      <c r="O8" t="s">
        <v>133</v>
      </c>
      <c r="P8" t="s">
        <v>79</v>
      </c>
      <c r="Q8" t="s">
        <v>137</v>
      </c>
      <c r="R8">
        <f>Table1[[#This Row],[Amount in Package]]*Table1[[#This Row],[Quantity of Packages]]</f>
        <v>240</v>
      </c>
      <c r="S8" t="s">
        <v>50</v>
      </c>
      <c r="T8" s="2">
        <f>Table1[[#This Row],[Net Package Price]]*Table1[[#This Row],[Total Pieces]]</f>
        <v>1077.6000000000001</v>
      </c>
      <c r="U8" s="2">
        <f>Table1[[#This Row],[Item Price]] * 1.19</f>
        <v>1282.3440000000001</v>
      </c>
      <c r="V8">
        <f>Table1[[#This Row],[Net Weight]]*Table1[[#This Row],[Total Pieces]]/1000</f>
        <v>84</v>
      </c>
      <c r="W8" t="s">
        <v>71</v>
      </c>
    </row>
    <row r="9" spans="1:23" x14ac:dyDescent="0.25">
      <c r="A9">
        <v>8</v>
      </c>
      <c r="B9" t="s">
        <v>24</v>
      </c>
      <c r="C9" t="s">
        <v>25</v>
      </c>
      <c r="D9" s="1">
        <v>100008</v>
      </c>
      <c r="E9" s="1" t="s">
        <v>58</v>
      </c>
      <c r="F9">
        <v>500</v>
      </c>
      <c r="G9" t="s">
        <v>62</v>
      </c>
      <c r="H9" s="2">
        <v>3.59</v>
      </c>
      <c r="I9">
        <v>1</v>
      </c>
      <c r="J9" t="s">
        <v>45</v>
      </c>
      <c r="K9" t="s">
        <v>84</v>
      </c>
      <c r="L9" t="s">
        <v>74</v>
      </c>
      <c r="M9">
        <v>60</v>
      </c>
      <c r="N9" t="s">
        <v>33</v>
      </c>
      <c r="O9" t="s">
        <v>130</v>
      </c>
      <c r="P9" t="s">
        <v>75</v>
      </c>
      <c r="Q9" t="s">
        <v>139</v>
      </c>
      <c r="R9">
        <f>Table1[[#This Row],[Amount in Package]]*Table1[[#This Row],[Quantity of Packages]]</f>
        <v>60</v>
      </c>
      <c r="S9" t="s">
        <v>50</v>
      </c>
      <c r="T9" s="2">
        <f>Table1[[#This Row],[Net Package Price]]*Table1[[#This Row],[Total Pieces]]</f>
        <v>215.39999999999998</v>
      </c>
      <c r="U9" s="2">
        <f>Table1[[#This Row],[Item Price]] * 1.19</f>
        <v>256.32599999999996</v>
      </c>
      <c r="V9">
        <f>Table1[[#This Row],[Net Weight]]*Table1[[#This Row],[Total Pieces]]/1000</f>
        <v>30</v>
      </c>
      <c r="W9" t="s">
        <v>71</v>
      </c>
    </row>
    <row r="10" spans="1:23" x14ac:dyDescent="0.25">
      <c r="A10">
        <v>9</v>
      </c>
      <c r="B10" t="s">
        <v>26</v>
      </c>
      <c r="C10" t="s">
        <v>27</v>
      </c>
      <c r="D10" s="1">
        <v>100009</v>
      </c>
      <c r="E10" s="1" t="s">
        <v>59</v>
      </c>
      <c r="F10">
        <v>750</v>
      </c>
      <c r="G10" t="s">
        <v>63</v>
      </c>
      <c r="H10" s="2">
        <v>1.49</v>
      </c>
      <c r="I10">
        <v>12</v>
      </c>
      <c r="J10" t="s">
        <v>41</v>
      </c>
      <c r="K10" t="s">
        <v>85</v>
      </c>
      <c r="L10" t="s">
        <v>82</v>
      </c>
      <c r="M10">
        <v>25</v>
      </c>
      <c r="N10" t="s">
        <v>49</v>
      </c>
      <c r="O10" t="s">
        <v>134</v>
      </c>
      <c r="P10" t="s">
        <v>78</v>
      </c>
      <c r="Q10" t="s">
        <v>141</v>
      </c>
      <c r="R10">
        <f>Table1[[#This Row],[Amount in Package]]*Table1[[#This Row],[Quantity of Packages]]</f>
        <v>300</v>
      </c>
      <c r="S10" t="s">
        <v>50</v>
      </c>
      <c r="T10" s="2">
        <f>Table1[[#This Row],[Net Package Price]]*Table1[[#This Row],[Total Pieces]]</f>
        <v>447</v>
      </c>
      <c r="U10" s="2">
        <f>Table1[[#This Row],[Item Price]] * 1.19</f>
        <v>531.92999999999995</v>
      </c>
      <c r="V10">
        <f>Table1[[#This Row],[Net Weight]]*Table1[[#This Row],[Total Pieces]]/1000</f>
        <v>225</v>
      </c>
      <c r="W10" t="s">
        <v>71</v>
      </c>
    </row>
    <row r="11" spans="1:23" x14ac:dyDescent="0.25">
      <c r="A11">
        <v>10</v>
      </c>
      <c r="B11" t="s">
        <v>28</v>
      </c>
      <c r="C11" t="s">
        <v>29</v>
      </c>
      <c r="D11" s="1">
        <v>100010</v>
      </c>
      <c r="E11" s="1" t="s">
        <v>60</v>
      </c>
      <c r="F11">
        <v>100</v>
      </c>
      <c r="G11" t="s">
        <v>62</v>
      </c>
      <c r="H11" s="2">
        <v>2.19</v>
      </c>
      <c r="I11">
        <v>15</v>
      </c>
      <c r="J11" t="s">
        <v>46</v>
      </c>
      <c r="K11" t="s">
        <v>84</v>
      </c>
      <c r="L11" t="s">
        <v>74</v>
      </c>
      <c r="M11">
        <v>30</v>
      </c>
      <c r="N11" t="s">
        <v>47</v>
      </c>
      <c r="O11" t="s">
        <v>135</v>
      </c>
      <c r="P11" t="s">
        <v>79</v>
      </c>
      <c r="Q11" t="s">
        <v>139</v>
      </c>
      <c r="R11">
        <f>Table1[[#This Row],[Amount in Package]]*Table1[[#This Row],[Quantity of Packages]]</f>
        <v>450</v>
      </c>
      <c r="S11" t="s">
        <v>50</v>
      </c>
      <c r="T11" s="2">
        <f>Table1[[#This Row],[Net Package Price]]*Table1[[#This Row],[Total Pieces]]</f>
        <v>985.5</v>
      </c>
      <c r="U11" s="2">
        <f>Table1[[#This Row],[Item Price]] * 1.19</f>
        <v>1172.7449999999999</v>
      </c>
      <c r="V11">
        <f>Table1[[#This Row],[Net Weight]]*Table1[[#This Row],[Total Pieces]]/1000</f>
        <v>45</v>
      </c>
      <c r="W11" t="s">
        <v>71</v>
      </c>
    </row>
    <row r="12" spans="1:23" x14ac:dyDescent="0.25">
      <c r="A12" t="s">
        <v>9</v>
      </c>
      <c r="B12">
        <f>SUBTOTAL(103,Table1[Product Name])</f>
        <v>10</v>
      </c>
      <c r="F12">
        <f>SUBTOTAL(101,Table1[Net Weight])</f>
        <v>334</v>
      </c>
      <c r="H12" s="2">
        <f>SUBTOTAL(109,Table1[Net Package Price])</f>
        <v>30.2</v>
      </c>
      <c r="I12">
        <f>SUBTOTAL(109,Table1[Amount in Package])</f>
        <v>74</v>
      </c>
      <c r="M12">
        <f>SUBTOTAL(109,Table1[Quantity of Packages])</f>
        <v>492</v>
      </c>
      <c r="R12">
        <f>SUBTOTAL(109,Table1[Total Pieces])</f>
        <v>2114</v>
      </c>
      <c r="S12" t="s">
        <v>50</v>
      </c>
      <c r="T12" s="2">
        <f>SUBTOTAL(109,Table1[Item Price])</f>
        <v>6039.46</v>
      </c>
      <c r="U12" s="2">
        <f>SUBTOTAL(109,Table1[Gross Price (19%)])</f>
        <v>7186.9574000000002</v>
      </c>
      <c r="V12">
        <f>SUBTOTAL(109,Table1[Total Weight])</f>
        <v>658.76</v>
      </c>
      <c r="W12" t="s">
        <v>71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7A22-6363-48F3-87DC-EAE897EFC711}">
  <sheetPr codeName="Sheet2"/>
  <dimension ref="A1:D5"/>
  <sheetViews>
    <sheetView workbookViewId="0">
      <selection activeCell="B1" sqref="B1"/>
    </sheetView>
  </sheetViews>
  <sheetFormatPr defaultRowHeight="15" x14ac:dyDescent="0.25"/>
  <cols>
    <col min="4" max="4" width="11.7109375" customWidth="1"/>
  </cols>
  <sheetData>
    <row r="1" spans="1:4" x14ac:dyDescent="0.25">
      <c r="A1" t="s">
        <v>103</v>
      </c>
      <c r="B1" t="s">
        <v>121</v>
      </c>
      <c r="C1" t="s">
        <v>87</v>
      </c>
      <c r="D1" t="s">
        <v>88</v>
      </c>
    </row>
    <row r="2" spans="1:4" x14ac:dyDescent="0.25">
      <c r="A2" t="s">
        <v>95</v>
      </c>
      <c r="B2" t="s">
        <v>95</v>
      </c>
      <c r="C2" t="s">
        <v>96</v>
      </c>
    </row>
    <row r="3" spans="1:4" x14ac:dyDescent="0.25">
      <c r="A3" t="s">
        <v>104</v>
      </c>
      <c r="B3" t="s">
        <v>97</v>
      </c>
      <c r="C3" t="s">
        <v>98</v>
      </c>
    </row>
    <row r="4" spans="1:4" x14ac:dyDescent="0.25">
      <c r="A4" t="s">
        <v>105</v>
      </c>
      <c r="B4" t="s">
        <v>99</v>
      </c>
      <c r="C4" t="s">
        <v>100</v>
      </c>
    </row>
    <row r="5" spans="1:4" x14ac:dyDescent="0.25">
      <c r="A5" t="s">
        <v>106</v>
      </c>
      <c r="B5" t="s">
        <v>101</v>
      </c>
      <c r="C5" t="s">
        <v>102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03AA-6ED4-4936-BEF8-27DF23A4D3DB}">
  <sheetPr codeName="Sheet1"/>
  <dimension ref="A1:D6"/>
  <sheetViews>
    <sheetView workbookViewId="0">
      <selection activeCell="B1" sqref="B1"/>
    </sheetView>
  </sheetViews>
  <sheetFormatPr defaultRowHeight="15" x14ac:dyDescent="0.25"/>
  <cols>
    <col min="1" max="1" width="8.140625" bestFit="1" customWidth="1"/>
    <col min="2" max="2" width="11.42578125" bestFit="1" customWidth="1"/>
    <col min="3" max="3" width="18" bestFit="1" customWidth="1"/>
    <col min="4" max="4" width="11.7109375" customWidth="1"/>
  </cols>
  <sheetData>
    <row r="1" spans="1:4" x14ac:dyDescent="0.25">
      <c r="A1" t="s">
        <v>103</v>
      </c>
      <c r="B1" t="s">
        <v>121</v>
      </c>
      <c r="C1" t="s">
        <v>87</v>
      </c>
      <c r="D1" t="s">
        <v>88</v>
      </c>
    </row>
    <row r="2" spans="1:4" x14ac:dyDescent="0.25">
      <c r="A2" t="s">
        <v>85</v>
      </c>
      <c r="B2" t="s">
        <v>82</v>
      </c>
      <c r="C2" t="s">
        <v>89</v>
      </c>
    </row>
    <row r="3" spans="1:4" x14ac:dyDescent="0.25">
      <c r="A3" t="s">
        <v>83</v>
      </c>
      <c r="B3" t="s">
        <v>81</v>
      </c>
      <c r="C3" t="s">
        <v>90</v>
      </c>
    </row>
    <row r="4" spans="1:4" x14ac:dyDescent="0.25">
      <c r="A4" t="s">
        <v>84</v>
      </c>
      <c r="B4" t="s">
        <v>74</v>
      </c>
      <c r="C4" t="s">
        <v>91</v>
      </c>
    </row>
    <row r="5" spans="1:4" x14ac:dyDescent="0.25">
      <c r="A5" t="s">
        <v>66</v>
      </c>
      <c r="B5" t="s">
        <v>66</v>
      </c>
      <c r="C5" t="s">
        <v>92</v>
      </c>
    </row>
    <row r="6" spans="1:4" x14ac:dyDescent="0.25">
      <c r="A6" t="s">
        <v>67</v>
      </c>
      <c r="B6" t="s">
        <v>80</v>
      </c>
      <c r="C6" t="s">
        <v>93</v>
      </c>
      <c r="D6" t="s">
        <v>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D866B-C454-465A-9810-BBEC126B55C0}">
  <dimension ref="A1:C6"/>
  <sheetViews>
    <sheetView workbookViewId="0">
      <selection sqref="A1:C6"/>
    </sheetView>
  </sheetViews>
  <sheetFormatPr defaultRowHeight="15" x14ac:dyDescent="0.25"/>
  <cols>
    <col min="3" max="3" width="11.7109375" customWidth="1"/>
  </cols>
  <sheetData>
    <row r="1" spans="1:3" x14ac:dyDescent="0.25">
      <c r="A1" t="s">
        <v>86</v>
      </c>
      <c r="B1" t="s">
        <v>87</v>
      </c>
      <c r="C1" t="s">
        <v>88</v>
      </c>
    </row>
    <row r="2" spans="1:3" x14ac:dyDescent="0.25">
      <c r="A2" t="s">
        <v>72</v>
      </c>
      <c r="B2" t="s">
        <v>47</v>
      </c>
    </row>
    <row r="3" spans="1:3" x14ac:dyDescent="0.25">
      <c r="A3" t="s">
        <v>73</v>
      </c>
      <c r="B3" t="s">
        <v>34</v>
      </c>
    </row>
    <row r="4" spans="1:3" x14ac:dyDescent="0.25">
      <c r="A4" t="s">
        <v>75</v>
      </c>
      <c r="B4" t="s">
        <v>33</v>
      </c>
    </row>
    <row r="5" spans="1:3" x14ac:dyDescent="0.25">
      <c r="A5" t="s">
        <v>78</v>
      </c>
      <c r="B5" t="s">
        <v>49</v>
      </c>
    </row>
    <row r="6" spans="1:3" x14ac:dyDescent="0.25">
      <c r="A6" t="s">
        <v>77</v>
      </c>
      <c r="B6" t="s">
        <v>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8D8F-4F45-4D5B-A91A-89328D5BA4F8}">
  <sheetPr codeName="Sheet4"/>
  <dimension ref="A1:C9"/>
  <sheetViews>
    <sheetView workbookViewId="0">
      <selection sqref="A1:B9"/>
    </sheetView>
  </sheetViews>
  <sheetFormatPr defaultRowHeight="15" x14ac:dyDescent="0.25"/>
  <cols>
    <col min="1" max="1" width="5.28515625" bestFit="1" customWidth="1"/>
    <col min="3" max="3" width="11.7109375" customWidth="1"/>
  </cols>
  <sheetData>
    <row r="1" spans="1:3" x14ac:dyDescent="0.25">
      <c r="A1" t="s">
        <v>86</v>
      </c>
      <c r="B1" t="s">
        <v>87</v>
      </c>
      <c r="C1" t="s">
        <v>88</v>
      </c>
    </row>
    <row r="2" spans="1:3" x14ac:dyDescent="0.25">
      <c r="A2" t="s">
        <v>128</v>
      </c>
      <c r="B2" t="s">
        <v>35</v>
      </c>
    </row>
    <row r="3" spans="1:3" x14ac:dyDescent="0.25">
      <c r="A3" t="s">
        <v>127</v>
      </c>
      <c r="B3" t="s">
        <v>131</v>
      </c>
    </row>
    <row r="4" spans="1:3" x14ac:dyDescent="0.25">
      <c r="A4" t="s">
        <v>129</v>
      </c>
      <c r="B4" t="s">
        <v>132</v>
      </c>
    </row>
    <row r="5" spans="1:3" x14ac:dyDescent="0.25">
      <c r="A5" t="s">
        <v>130</v>
      </c>
      <c r="B5" t="s">
        <v>36</v>
      </c>
    </row>
    <row r="6" spans="1:3" x14ac:dyDescent="0.25">
      <c r="A6" t="s">
        <v>133</v>
      </c>
      <c r="B6" t="s">
        <v>37</v>
      </c>
    </row>
    <row r="7" spans="1:3" x14ac:dyDescent="0.25">
      <c r="A7" t="s">
        <v>136</v>
      </c>
      <c r="B7" t="s">
        <v>38</v>
      </c>
    </row>
    <row r="8" spans="1:3" x14ac:dyDescent="0.25">
      <c r="A8" t="s">
        <v>134</v>
      </c>
      <c r="B8" t="s">
        <v>39</v>
      </c>
    </row>
    <row r="9" spans="1:3" x14ac:dyDescent="0.25">
      <c r="A9" t="s">
        <v>135</v>
      </c>
      <c r="B9" t="s">
        <v>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C4FA-C498-4130-84E9-1768CD714046}">
  <sheetPr codeName="Sheet3"/>
  <dimension ref="A1:E10"/>
  <sheetViews>
    <sheetView workbookViewId="0">
      <selection activeCell="D29" sqref="D29"/>
    </sheetView>
  </sheetViews>
  <sheetFormatPr defaultRowHeight="15" x14ac:dyDescent="0.25"/>
  <cols>
    <col min="1" max="2" width="21.5703125" bestFit="1" customWidth="1"/>
    <col min="3" max="3" width="10.28515625" customWidth="1"/>
    <col min="4" max="4" width="32" bestFit="1" customWidth="1"/>
    <col min="5" max="5" width="11.7109375" customWidth="1"/>
  </cols>
  <sheetData>
    <row r="1" spans="1:5" x14ac:dyDescent="0.25">
      <c r="A1" t="s">
        <v>126</v>
      </c>
      <c r="B1" t="s">
        <v>125</v>
      </c>
      <c r="C1" t="s">
        <v>124</v>
      </c>
      <c r="D1" t="s">
        <v>87</v>
      </c>
      <c r="E1" t="s">
        <v>88</v>
      </c>
    </row>
    <row r="2" spans="1:5" x14ac:dyDescent="0.25">
      <c r="A2" t="s">
        <v>127</v>
      </c>
      <c r="B2" t="s">
        <v>75</v>
      </c>
      <c r="C2" t="s">
        <v>111</v>
      </c>
      <c r="D2" t="s">
        <v>112</v>
      </c>
    </row>
    <row r="3" spans="1:5" x14ac:dyDescent="0.25">
      <c r="A3" t="s">
        <v>127</v>
      </c>
      <c r="B3" t="s">
        <v>73</v>
      </c>
      <c r="C3" t="s">
        <v>73</v>
      </c>
      <c r="D3" t="s">
        <v>34</v>
      </c>
    </row>
    <row r="4" spans="1:5" x14ac:dyDescent="0.25">
      <c r="A4" t="s">
        <v>136</v>
      </c>
      <c r="B4" t="s">
        <v>77</v>
      </c>
      <c r="C4" t="s">
        <v>117</v>
      </c>
      <c r="D4" t="s">
        <v>118</v>
      </c>
    </row>
    <row r="5" spans="1:5" x14ac:dyDescent="0.25">
      <c r="A5" t="s">
        <v>136</v>
      </c>
      <c r="B5" t="s">
        <v>75</v>
      </c>
      <c r="C5" t="s">
        <v>119</v>
      </c>
      <c r="D5" t="s">
        <v>120</v>
      </c>
    </row>
    <row r="6" spans="1:5" x14ac:dyDescent="0.25">
      <c r="A6" t="s">
        <v>128</v>
      </c>
      <c r="B6" t="s">
        <v>72</v>
      </c>
      <c r="C6" t="s">
        <v>79</v>
      </c>
      <c r="D6" t="s">
        <v>47</v>
      </c>
    </row>
    <row r="7" spans="1:5" x14ac:dyDescent="0.25">
      <c r="A7" t="s">
        <v>128</v>
      </c>
      <c r="B7" t="s">
        <v>77</v>
      </c>
      <c r="C7" t="s">
        <v>115</v>
      </c>
      <c r="D7" t="s">
        <v>116</v>
      </c>
    </row>
    <row r="8" spans="1:5" x14ac:dyDescent="0.25">
      <c r="A8" t="s">
        <v>130</v>
      </c>
      <c r="B8" t="s">
        <v>78</v>
      </c>
      <c r="C8" t="s">
        <v>109</v>
      </c>
      <c r="D8" t="s">
        <v>110</v>
      </c>
    </row>
    <row r="9" spans="1:5" x14ac:dyDescent="0.25">
      <c r="A9" t="s">
        <v>129</v>
      </c>
      <c r="B9" t="s">
        <v>75</v>
      </c>
      <c r="C9" t="s">
        <v>113</v>
      </c>
      <c r="D9" t="s">
        <v>114</v>
      </c>
    </row>
    <row r="10" spans="1:5" x14ac:dyDescent="0.25">
      <c r="A10" t="s">
        <v>134</v>
      </c>
      <c r="B10" t="s">
        <v>78</v>
      </c>
      <c r="C10" t="s">
        <v>107</v>
      </c>
      <c r="D10" t="s">
        <v>108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Ordered Item</vt:lpstr>
      <vt:lpstr>Measurement UoM</vt:lpstr>
      <vt:lpstr>Quantity UoM</vt:lpstr>
      <vt:lpstr>IDOC - MATKL - Material Class</vt:lpstr>
      <vt:lpstr>IDOC - PTSTYV - Item Category </vt:lpstr>
      <vt:lpstr>Package Type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Stuhec, Gunther</dc:creator>
  <cp:lastModifiedBy>Stuhec, Gunther</cp:lastModifiedBy>
  <dcterms:created xsi:type="dcterms:W3CDTF">2025-10-10T10:08:13Z</dcterms:created>
  <dcterms:modified xsi:type="dcterms:W3CDTF">2025-10-11T20:53:37Z</dcterms:modified>
</cp:coreProperties>
</file>